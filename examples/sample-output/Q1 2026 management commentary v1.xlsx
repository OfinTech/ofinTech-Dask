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–&quot;"/>
    <numFmt numFmtId="165" formatCode="0.0%;(0.0%);&quot;–&quot;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  <font>
      <color rgb="006B7280"/>
      <sz val="9"/>
    </font>
    <font>
      <color rgb="001F4E79"/>
    </font>
    <font>
      <color rgb="001F4E79"/>
      <sz val="9"/>
      <u val="single"/>
    </font>
    <font>
      <b val="1"/>
      <color theme="1"/>
    </font>
  </fonts>
  <fills count="5">
    <fill>
      <patternFill/>
    </fill>
    <fill>
      <patternFill patternType="gray125"/>
    </fill>
    <fill>
      <patternFill patternType="solid">
        <fgColor rgb="00E7EDF3"/>
      </patternFill>
    </fill>
    <fill>
      <patternFill patternType="solid">
        <fgColor rgb="00F8D7DA"/>
      </patternFill>
    </fill>
    <fill>
      <patternFill patternType="solid">
        <fgColor rgb="00FFE8CC"/>
      </patternFill>
    </fill>
  </fills>
  <borders count="3">
    <border>
      <left/>
      <right/>
      <top/>
      <bottom/>
      <diagonal/>
    </border>
    <border>
      <bottom style="thin">
        <color rgb="009CA3AF"/>
      </bottom>
    </border>
    <border>
      <top style="thin">
        <color rgb="009CA3AF"/>
      </top>
      <bottom style="double">
        <color rgb="0011182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right" wrapText="1"/>
    </xf>
    <xf numFmtId="0" fontId="4" fillId="2" borderId="1" pivotButton="0" quotePrefix="0" xfId="0"/>
    <xf numFmtId="164" fontId="5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6" fillId="0" borderId="0" pivotButton="0" quotePrefix="0" xfId="0"/>
    <xf numFmtId="164" fontId="5" fillId="3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0" fontId="7" fillId="0" borderId="2" pivotButton="0" quotePrefix="0" xfId="0"/>
    <xf numFmtId="164" fontId="7" fillId="0" borderId="2" applyAlignment="1" pivotButton="0" quotePrefix="0" xfId="0">
      <alignment horizontal="right"/>
    </xf>
    <xf numFmtId="165" fontId="7" fillId="0" borderId="2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OfinTech Desk</author>
  </authors>
  <commentList>
    <comment ref="B5" authorId="0" shapeId="0">
      <text>
        <t>S1: Dataset “Actuals” — CSV import (actuals.csv)
Account = Rent · Scenario = Actual · sum of Amount over 3 rows</t>
      </text>
    </comment>
    <comment ref="C5" authorId="0" shapeId="0">
      <text>
        <t>S1: Dataset “Actuals” — CSV import (actuals.csv)
Account = Rent · Scenario = Budget · sum of Amount over 3 rows</t>
      </text>
    </comment>
    <comment ref="B6" authorId="0" shapeId="0">
      <text>
        <t>S1: Dataset “Actuals” — CSV import (actuals.csv)
Account = Revenue · Scenario = Actual · sum of Amount over 3 rows</t>
      </text>
    </comment>
    <comment ref="C6" authorId="0" shapeId="0">
      <text>
        <t>S1: Dataset “Actuals” — CSV import (actuals.csv)
Account = Revenue · Scenario = Budget · sum of Amount over 3 rows</t>
      </text>
    </comment>
    <comment ref="B7" authorId="0" shapeId="0">
      <text>
        <t>S1: Dataset “Actuals” — CSV import (actuals.csv)
Account = Travel · Scenario = Actual · sum of Amount over 3 rows</t>
      </text>
    </comment>
    <comment ref="C7" authorId="0" shapeId="0">
      <text>
        <t>S1: Dataset “Actuals” — CSV import (actuals.csv)
Account = Travel · Scenario = Budget · sum of Amount over 3 rows
Review (high): Travel has no budget
Budget is zero for travel; confirm whether it was omitted.</t>
      </text>
    </comment>
    <comment ref="E7" authorId="0" shapeId="0">
      <text>
        <t>Review (medium): Division by zero left 1 cell blank
E7: the divisor is zero or empty, so the formula shows a blank.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ofintech-desk://open/data/bcae9e029543450e91b0?ws=ws_0d84b1943cef4601a0d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1" customWidth="1" min="4" max="4"/>
    <col width="12" customWidth="1" min="5" max="5"/>
    <col width="8" customWidth="1" min="6" max="6"/>
  </cols>
  <sheetData>
    <row r="1">
      <c r="A1" s="1" t="inlineStr">
        <is>
          <t>Q1 2026: actual against budget</t>
        </is>
      </c>
    </row>
    <row r="3">
      <c r="A3" s="2" t="inlineStr">
        <is>
          <t>By account</t>
        </is>
      </c>
    </row>
    <row r="4">
      <c r="A4" s="3" t="inlineStr">
        <is>
          <t>Account</t>
        </is>
      </c>
      <c r="B4" s="4" t="inlineStr">
        <is>
          <t>Actual</t>
        </is>
      </c>
      <c r="C4" s="4" t="inlineStr">
        <is>
          <t>Budget</t>
        </is>
      </c>
      <c r="D4" s="4" t="inlineStr">
        <is>
          <t>Variance</t>
        </is>
      </c>
      <c r="E4" s="4" t="inlineStr">
        <is>
          <t>Variance %</t>
        </is>
      </c>
      <c r="F4" s="5" t="inlineStr">
        <is>
          <t>Ref</t>
        </is>
      </c>
    </row>
    <row r="5">
      <c r="A5" t="inlineStr">
        <is>
          <t>Rent</t>
        </is>
      </c>
      <c r="B5" s="6" t="n">
        <v>13500</v>
      </c>
      <c r="C5" s="6" t="n">
        <v>12600</v>
      </c>
      <c r="D5" s="7">
        <f>B5-C5</f>
        <v/>
      </c>
      <c r="E5" s="8">
        <f>IFERROR((B5-C5)/C5,"")</f>
        <v/>
      </c>
      <c r="F5" s="9" t="inlineStr">
        <is>
          <t>S1</t>
        </is>
      </c>
    </row>
    <row r="6">
      <c r="A6" t="inlineStr">
        <is>
          <t>Revenue</t>
        </is>
      </c>
      <c r="B6" s="6" t="n">
        <v>156000</v>
      </c>
      <c r="C6" s="6" t="n">
        <v>156000</v>
      </c>
      <c r="D6" s="7">
        <f>B6-C6</f>
        <v/>
      </c>
      <c r="E6" s="8">
        <f>IFERROR((B6-C6)/C6,"")</f>
        <v/>
      </c>
      <c r="F6" s="9" t="inlineStr">
        <is>
          <t>S1</t>
        </is>
      </c>
    </row>
    <row r="7">
      <c r="A7" t="inlineStr">
        <is>
          <t>Travel</t>
        </is>
      </c>
      <c r="B7" s="6" t="n">
        <v>10800</v>
      </c>
      <c r="C7" s="10" t="n">
        <v>0</v>
      </c>
      <c r="D7" s="7">
        <f>B7-C7</f>
        <v/>
      </c>
      <c r="E7" s="11">
        <f>IFERROR((B7-C7)/C7,"")</f>
        <v/>
      </c>
      <c r="F7" s="9" t="inlineStr">
        <is>
          <t>S1</t>
        </is>
      </c>
    </row>
    <row r="8">
      <c r="A8" s="12" t="inlineStr">
        <is>
          <t>Total</t>
        </is>
      </c>
      <c r="B8" s="13">
        <f>SUM(B5:B7)</f>
        <v/>
      </c>
      <c r="C8" s="13">
        <f>SUM(C5:C7)</f>
        <v/>
      </c>
      <c r="D8" s="13">
        <f>B8-C8</f>
        <v/>
      </c>
      <c r="E8" s="14">
        <f>IFERROR((B8-C8)/C8,"")</f>
        <v/>
      </c>
    </row>
    <row r="10">
      <c r="A10" s="15" t="inlineStr">
        <is>
          <t>Revenue variance</t>
        </is>
      </c>
      <c r="B10" s="7">
        <f>D6</f>
        <v/>
      </c>
    </row>
    <row r="11">
      <c r="A11" s="15" t="inlineStr">
        <is>
          <t>Cost share of revenue</t>
        </is>
      </c>
      <c r="B11" s="8">
        <f>IFERROR((B5+B7)/B6,"")</f>
        <v/>
      </c>
    </row>
  </sheetData>
  <hyperlinks>
    <hyperlink ref="F5" location="'Sources'!A8" tooltip="Open the source"/>
    <hyperlink ref="F6" location="'Sources'!A8" tooltip="Open the source"/>
    <hyperlink ref="F7" location="'Sources'!A8" tooltip="Open the source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6" customWidth="1" min="3" max="3"/>
    <col width="70" customWidth="1" min="4" max="4"/>
    <col width="16" customWidth="1" min="5" max="5"/>
  </cols>
  <sheetData>
    <row r="1">
      <c r="A1" s="1" t="inlineStr">
        <is>
          <t>Review findings</t>
        </is>
      </c>
    </row>
    <row r="2">
      <c r="A2" s="16" t="inlineStr">
        <is>
          <t>Open points from the automatic checks and the independent reviewer. Resolve them in the app.</t>
        </is>
      </c>
    </row>
    <row r="4">
      <c r="A4" s="17" t="inlineStr">
        <is>
          <t>Severity</t>
        </is>
      </c>
      <c r="B4" s="17" t="inlineStr">
        <is>
          <t>Where</t>
        </is>
      </c>
      <c r="C4" s="17" t="inlineStr">
        <is>
          <t>Finding</t>
        </is>
      </c>
      <c r="D4" s="17" t="inlineStr">
        <is>
          <t>Details</t>
        </is>
      </c>
      <c r="E4" s="17" t="inlineStr">
        <is>
          <t>From</t>
        </is>
      </c>
    </row>
    <row r="5">
      <c r="A5" s="18" t="inlineStr">
        <is>
          <t>High</t>
        </is>
      </c>
      <c r="B5" t="inlineStr">
        <is>
          <t>P3</t>
        </is>
      </c>
      <c r="C5" s="19" t="inlineStr">
        <is>
          <t>Figure without a source: 48,213.77</t>
        </is>
      </c>
      <c r="D5" s="19" t="inlineStr">
        <is>
          <t>Quote figures from the tables (as {{table.row.column}}) or from a tool result.</t>
        </is>
      </c>
      <c r="E5" t="inlineStr">
        <is>
          <t>Automatic check</t>
        </is>
      </c>
    </row>
    <row r="6">
      <c r="A6" s="18" t="inlineStr">
        <is>
          <t>High</t>
        </is>
      </c>
      <c r="B6" s="9" t="inlineStr">
        <is>
          <t>Variance!C7</t>
        </is>
      </c>
      <c r="C6" s="19" t="inlineStr">
        <is>
          <t>Travel has no budget</t>
        </is>
      </c>
      <c r="D6" s="19" t="inlineStr">
        <is>
          <t>Budget is zero for travel; confirm whether it was omitted.</t>
        </is>
      </c>
      <c r="E6" t="inlineStr">
        <is>
          <t>Reviewer</t>
        </is>
      </c>
    </row>
    <row r="7">
      <c r="A7" s="20" t="inlineStr">
        <is>
          <t>Medium</t>
        </is>
      </c>
      <c r="B7" s="9" t="inlineStr">
        <is>
          <t>Variance!E7</t>
        </is>
      </c>
      <c r="C7" s="19" t="inlineStr">
        <is>
          <t>Division by zero left 1 cell blank</t>
        </is>
      </c>
      <c r="D7" s="19" t="inlineStr">
        <is>
          <t>E7: the divisor is zero or empty, so the formula shows a blank.</t>
        </is>
      </c>
      <c r="E7" t="inlineStr">
        <is>
          <t>Automatic check</t>
        </is>
      </c>
    </row>
    <row r="8">
      <c r="A8" s="20" t="inlineStr">
        <is>
          <t>Medium</t>
        </is>
      </c>
      <c r="B8" t="inlineStr">
        <is>
          <t>P1</t>
        </is>
      </c>
      <c r="C8" s="19" t="inlineStr">
        <is>
          <t>Say whether revenue is net of discounts</t>
        </is>
      </c>
      <c r="D8" s="19" t="inlineStr">
        <is>
          <t>The commentary does not state the revenue basis.</t>
        </is>
      </c>
      <c r="E8" t="inlineStr">
        <is>
          <t>Reviewer</t>
        </is>
      </c>
    </row>
  </sheetData>
  <hyperlinks>
    <hyperlink ref="B6" location="'Variance'!C7"/>
    <hyperlink ref="B7" location="'Variance'!E7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6" customWidth="1" min="3" max="3"/>
    <col width="17" customWidth="1" min="4" max="4"/>
    <col width="80" customWidth="1" min="5" max="5"/>
    <col width="22" customWidth="1" min="6" max="6"/>
  </cols>
  <sheetData>
    <row r="1">
      <c r="A1" s="1" t="inlineStr">
        <is>
          <t>Sources and checks</t>
        </is>
      </c>
    </row>
    <row r="2">
      <c r="A2" s="15" t="inlineStr">
        <is>
          <t>Q1 2026 management commentary</t>
        </is>
      </c>
    </row>
    <row r="3">
      <c r="A3" s="16" t="inlineStr">
        <is>
          <t>Prepared by Root in Acme Ltd, version 1, 2026-10-26 23:12</t>
        </is>
      </c>
    </row>
    <row r="4">
      <c r="A4" s="16" t="inlineStr">
        <is>
          <t>6 input figures: 6 traced to a source, 0 without a source; 11 figures are live formulas.</t>
        </is>
      </c>
    </row>
    <row r="5">
      <c r="A5" s="16" t="inlineStr">
        <is>
          <t>Blue figures are inputs (hover for their source); black figures are formulas.</t>
        </is>
      </c>
    </row>
    <row r="7">
      <c r="A7" s="17" t="inlineStr">
        <is>
          <t>Ref</t>
        </is>
      </c>
      <c r="B7" s="17" t="inlineStr">
        <is>
          <t>Source</t>
        </is>
      </c>
      <c r="C7" s="17" t="inlineStr">
        <is>
          <t>System</t>
        </is>
      </c>
      <c r="D7" s="17" t="inlineStr">
        <is>
          <t>Retrieved</t>
        </is>
      </c>
      <c r="E7" s="17" t="inlineStr">
        <is>
          <t>What was used</t>
        </is>
      </c>
      <c r="F7" s="17" t="inlineStr">
        <is>
          <t>Open</t>
        </is>
      </c>
    </row>
    <row r="8">
      <c r="A8" s="15" t="inlineStr">
        <is>
          <t>S1</t>
        </is>
      </c>
      <c r="B8" t="inlineStr">
        <is>
          <t>Dataset “Actuals”</t>
        </is>
      </c>
      <c r="C8" t="inlineStr">
        <is>
          <t>CSV import (actuals.csv)</t>
        </is>
      </c>
      <c r="D8" t="inlineStr">
        <is>
          <t>2026-10-26 23:12</t>
        </is>
      </c>
      <c r="E8" s="19" t="inlineStr">
        <is>
          <t>sum of Amount, by Account, Scenario, where Period between ['2026-01-01', '2026-03-31']</t>
        </is>
      </c>
      <c r="F8" s="9" t="inlineStr">
        <is>
          <t>Open in OfinTech Desk</t>
        </is>
      </c>
    </row>
    <row r="11">
      <c r="A11" s="15" t="inlineStr">
        <is>
          <t>Calculations quoted in the report</t>
        </is>
      </c>
    </row>
    <row r="12">
      <c r="A12" s="21" t="inlineStr">
        <is>
          <t>Ref</t>
        </is>
      </c>
      <c r="B12" s="21" t="inlineStr">
        <is>
          <t>Calculation</t>
        </is>
      </c>
      <c r="C12" s="21" t="inlineStr">
        <is>
          <t>Formula</t>
        </is>
      </c>
      <c r="D12" s="21" t="inlineStr">
        <is>
          <t>Value</t>
        </is>
      </c>
    </row>
    <row r="13">
      <c r="A13" t="inlineStr">
        <is>
          <t>C1</t>
        </is>
      </c>
      <c r="B13" t="inlineStr">
        <is>
          <t>Actual − Budget</t>
        </is>
      </c>
      <c r="C13" t="inlineStr">
        <is>
          <t>Variance!D6: B6-C6</t>
        </is>
      </c>
      <c r="D13" s="22">
        <f>'Variance'!$D$6</f>
        <v/>
      </c>
    </row>
    <row r="14">
      <c r="A14" t="inlineStr">
        <is>
          <t>C2</t>
        </is>
      </c>
      <c r="B14" t="inlineStr">
        <is>
          <t>Revenue (Variance, By account) ÷ Revenue (Budget, By account)</t>
        </is>
      </c>
      <c r="C14" t="inlineStr">
        <is>
          <t>IFERROR('Variance'!$D$6/'Variance'!$C$6,"")</t>
        </is>
      </c>
      <c r="D14" s="23">
        <f>IFERROR('Variance'!$D$6/'Variance'!$C$6,"")</f>
        <v/>
      </c>
    </row>
  </sheetData>
  <hyperlinks>
    <hyperlink xmlns:r="http://schemas.openxmlformats.org/officeDocument/2006/relationships" ref="F8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OfinTech Desk</dc:creator>
  <dc:title xmlns:dc="http://purl.org/dc/elements/1.1/">Q1 2026 management commentary</dc:title>
  <dcterms:created xmlns:dcterms="http://purl.org/dc/terms/" xmlns:xsi="http://www.w3.org/2001/XMLSchema-instance" xsi:type="dcterms:W3CDTF">2026-10-26T20:12:11Z</dcterms:created>
  <dcterms:modified xmlns:dcterms="http://purl.org/dc/terms/" xmlns:xsi="http://www.w3.org/2001/XMLSchema-instance" xsi:type="dcterms:W3CDTF">2026-10-26T20:12:11Z</dcterms:modified>
</cp:coreProperties>
</file>